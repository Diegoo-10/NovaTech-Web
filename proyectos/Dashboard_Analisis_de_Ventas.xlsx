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"/>
    </mc:Choice>
  </mc:AlternateContent>
  <xr:revisionPtr revIDLastSave="0" documentId="8_{E55A0472-CDB5-499D-BE3F-07BE8B9D2996}" xr6:coauthVersionLast="46" xr6:coauthVersionMax="46" xr10:uidLastSave="{00000000-0000-0000-0000-000000000000}"/>
  <bookViews>
    <workbookView xWindow="-108" yWindow="-108" windowWidth="23256" windowHeight="12456" activeTab="1" xr2:uid="{BBA327F4-066F-48E3-9590-FF9906CBE118}"/>
  </bookViews>
  <sheets>
    <sheet name="Ventas" sheetId="1" r:id="rId1"/>
    <sheet name="DashBoard" sheetId="2" r:id="rId2"/>
  </sheets>
  <calcPr calcId="191029"/>
  <pivotCaches>
    <pivotCache cacheId="19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" i="2" l="1"/>
  <c r="B4" i="2"/>
  <c r="B6" i="2"/>
  <c r="G2" i="1"/>
  <c r="G3" i="1"/>
  <c r="G4" i="1"/>
  <c r="G5" i="1"/>
  <c r="G6" i="1"/>
  <c r="G7" i="1"/>
  <c r="G8" i="1"/>
  <c r="G9" i="1"/>
  <c r="G10" i="1"/>
  <c r="G11" i="1"/>
</calcChain>
</file>

<file path=xl/sharedStrings.xml><?xml version="1.0" encoding="utf-8"?>
<sst xmlns="http://schemas.openxmlformats.org/spreadsheetml/2006/main" count="48" uniqueCount="25">
  <si>
    <t xml:space="preserve">Fecha </t>
  </si>
  <si>
    <t>Producto</t>
  </si>
  <si>
    <t>Categoría</t>
  </si>
  <si>
    <t xml:space="preserve">Región </t>
  </si>
  <si>
    <t>Cantidad</t>
  </si>
  <si>
    <t>Precio Unitario</t>
  </si>
  <si>
    <t>Ingresos</t>
  </si>
  <si>
    <t>Laptop</t>
  </si>
  <si>
    <t>Tecnología</t>
  </si>
  <si>
    <t>Antioquia</t>
  </si>
  <si>
    <t>Monitor</t>
  </si>
  <si>
    <t>Teclado</t>
  </si>
  <si>
    <t>Mouse</t>
  </si>
  <si>
    <t>Tencnología</t>
  </si>
  <si>
    <t>Accesorios</t>
  </si>
  <si>
    <t>Caldas</t>
  </si>
  <si>
    <t>Cundinamarca</t>
  </si>
  <si>
    <t>Análisis de Ventas</t>
  </si>
  <si>
    <t>Ingresos totales</t>
  </si>
  <si>
    <t>Productos Vendidos</t>
  </si>
  <si>
    <t>Precio promedio</t>
  </si>
  <si>
    <t>Etiquetas de fila</t>
  </si>
  <si>
    <t>Suma de Ingresos</t>
  </si>
  <si>
    <t>Total general</t>
  </si>
  <si>
    <t>Análisis de ingresos por región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</si>
</sst>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&quot;$&quot;\ #,##0.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2">
    <xf numFmtId="0" fontId="0" fillId="0" borderId="0" xfId="0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14" fontId="0" fillId="0" borderId="7" xfId="0" applyNumberFormat="1" applyBorder="1"/>
    <xf numFmtId="0" fontId="0" fillId="0" borderId="1" xfId="0" applyBorder="1"/>
    <xf numFmtId="0" fontId="0" fillId="0" borderId="8" xfId="0" applyBorder="1"/>
    <xf numFmtId="14" fontId="0" fillId="0" borderId="3" xfId="0" applyNumberFormat="1" applyBorder="1"/>
    <xf numFmtId="0" fontId="0" fillId="0" borderId="9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0" borderId="0" xfId="0" applyFont="1"/>
    <xf numFmtId="164" fontId="0" fillId="0" borderId="0" xfId="0" applyNumberForma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44" fontId="4" fillId="0" borderId="0" xfId="1" applyFont="1"/>
    <xf numFmtId="0" fontId="4" fillId="0" borderId="0" xfId="0" applyFont="1"/>
    <xf numFmtId="164" fontId="4" fillId="0" borderId="0" xfId="0" applyNumberFormat="1" applyFont="1"/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</cellXfs>
  <cellStyles count="2">
    <cellStyle name="Moneda" xfId="1" builtinId="4"/>
    <cellStyle name="Normal" xfId="0" builtinId="0"/>
  </cellStyles>
  <dxfs count="11">
    <dxf>
      <border diagonalUp="0" diagonalDown="0">
        <left style="thin">
          <color theme="1"/>
        </left>
        <right style="thin">
          <color theme="1"/>
        </right>
        <top/>
        <bottom/>
        <vertical style="thin">
          <color theme="1"/>
        </vertical>
        <horizontal style="thin">
          <color theme="1"/>
        </horizontal>
      </border>
    </dxf>
    <dxf>
      <border diagonalUp="0" diagonalDown="0">
        <left style="thin">
          <color theme="1"/>
        </left>
        <right/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numFmt numFmtId="19" formatCode="d/mm/yyyy"/>
      <border diagonalUp="0" diagonalDown="0">
        <left/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top style="thin">
          <color theme="1"/>
        </top>
      </border>
    </dxf>
    <dxf>
      <border>
        <bottom style="thin">
          <color theme="1"/>
        </bottom>
      </border>
    </dxf>
    <dxf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[Dashboard_Analisis_de_Ventas.xlsx]DashBoard!TablaDinámica8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Ingresos</a:t>
            </a:r>
            <a:r>
              <a:rPr lang="es-CO" baseline="0"/>
              <a:t> por región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0757161490555917"/>
                  <c:h val="0.11308876811594203"/>
                </c:manualLayout>
              </c15:layout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29A-43E0-91E4-6588EBA13D4E}"/>
                </c:ext>
              </c:extLst>
            </c:dLbl>
            <c:dLbl>
              <c:idx val="1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0757161490555917"/>
                      <c:h val="0.11308876811594203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329A-43E0-91E4-6588EBA13D4E}"/>
                </c:ext>
              </c:extLst>
            </c:dLbl>
            <c:dLbl>
              <c:idx val="2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29A-43E0-91E4-6588EBA13D4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DashBoard!$A$11:$A$14</c:f>
              <c:strCache>
                <c:ptCount val="3"/>
                <c:pt idx="0">
                  <c:v>Antioquia</c:v>
                </c:pt>
                <c:pt idx="1">
                  <c:v>Caldas</c:v>
                </c:pt>
                <c:pt idx="2">
                  <c:v>Cundinamarca</c:v>
                </c:pt>
              </c:strCache>
            </c:strRef>
          </c:cat>
          <c:val>
            <c:numRef>
              <c:f>DashBoard!$B$11:$B$14</c:f>
              <c:numCache>
                <c:formatCode>"$"\ #,##0.00</c:formatCode>
                <c:ptCount val="3"/>
                <c:pt idx="0">
                  <c:v>9600000</c:v>
                </c:pt>
                <c:pt idx="1">
                  <c:v>10600000</c:v>
                </c:pt>
                <c:pt idx="2">
                  <c:v>6935000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9A-43E0-91E4-6588EBA13D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27378808"/>
        <c:axId val="627383400"/>
      </c:barChart>
      <c:catAx>
        <c:axId val="627378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27383400"/>
        <c:crosses val="autoZero"/>
        <c:auto val="1"/>
        <c:lblAlgn val="ctr"/>
        <c:lblOffset val="100"/>
        <c:noMultiLvlLbl val="0"/>
      </c:catAx>
      <c:valAx>
        <c:axId val="627383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\ 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27378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2.png"/><Relationship Id="rId3" Type="http://schemas.openxmlformats.org/officeDocument/2006/relationships/customXml" Target="../ink/ink2.xml"/><Relationship Id="rId7" Type="http://schemas.openxmlformats.org/officeDocument/2006/relationships/customXml" Target="../ink/ink6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6" Type="http://schemas.openxmlformats.org/officeDocument/2006/relationships/customXml" Target="../ink/ink5.xml"/><Relationship Id="rId5" Type="http://schemas.openxmlformats.org/officeDocument/2006/relationships/customXml" Target="../ink/ink4.xml"/><Relationship Id="rId4" Type="http://schemas.openxmlformats.org/officeDocument/2006/relationships/customXml" Target="../ink/ink3.xml"/><Relationship Id="rId9" Type="http://schemas.openxmlformats.org/officeDocument/2006/relationships/customXml" Target="../ink/ink7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441960</xdr:colOff>
      <xdr:row>13</xdr:row>
      <xdr:rowOff>152280</xdr:rowOff>
    </xdr:from>
    <xdr:to>
      <xdr:col>1</xdr:col>
      <xdr:colOff>442320</xdr:colOff>
      <xdr:row>13</xdr:row>
      <xdr:rowOff>152640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2" name="Entrada de lápiz 1">
              <a:extLst>
                <a:ext uri="{FF2B5EF4-FFF2-40B4-BE49-F238E27FC236}">
                  <a16:creationId xmlns:a16="http://schemas.microsoft.com/office/drawing/2014/main" id="{6F6AE089-DAC4-41BD-AFE7-0CD675BD4F5A}"/>
                </a:ext>
              </a:extLst>
            </xdr14:cNvPr>
            <xdr14:cNvContentPartPr/>
          </xdr14:nvContentPartPr>
          <xdr14:nvPr macro=""/>
          <xdr14:xfrm>
            <a:off x="1234440" y="2529720"/>
            <a:ext cx="360" cy="360"/>
          </xdr14:xfrm>
        </xdr:contentPart>
      </mc:Choice>
      <mc:Fallback>
        <xdr:pic>
          <xdr:nvPicPr>
            <xdr:cNvPr id="2" name="Entrada de lápiz 1">
              <a:extLst>
                <a:ext uri="{FF2B5EF4-FFF2-40B4-BE49-F238E27FC236}">
                  <a16:creationId xmlns:a16="http://schemas.microsoft.com/office/drawing/2014/main" id="{6F6AE089-DAC4-41BD-AFE7-0CD675BD4F5A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229760" y="2525400"/>
              <a:ext cx="9000" cy="9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411480</xdr:colOff>
      <xdr:row>14</xdr:row>
      <xdr:rowOff>30240</xdr:rowOff>
    </xdr:from>
    <xdr:to>
      <xdr:col>3</xdr:col>
      <xdr:colOff>411840</xdr:colOff>
      <xdr:row>14</xdr:row>
      <xdr:rowOff>30600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">
          <xdr14:nvContentPartPr>
            <xdr14:cNvPr id="3" name="Entrada de lápiz 2">
              <a:extLst>
                <a:ext uri="{FF2B5EF4-FFF2-40B4-BE49-F238E27FC236}">
                  <a16:creationId xmlns:a16="http://schemas.microsoft.com/office/drawing/2014/main" id="{D33DBE6E-01B6-487B-84AC-20C1CAFE82C5}"/>
                </a:ext>
              </a:extLst>
            </xdr14:cNvPr>
            <xdr14:cNvContentPartPr/>
          </xdr14:nvContentPartPr>
          <xdr14:nvPr macro=""/>
          <xdr14:xfrm>
            <a:off x="2788920" y="2590560"/>
            <a:ext cx="360" cy="360"/>
          </xdr14:xfrm>
        </xdr:contentPart>
      </mc:Choice>
      <mc:Fallback>
        <xdr:pic>
          <xdr:nvPicPr>
            <xdr:cNvPr id="3" name="Entrada de lápiz 2">
              <a:extLst>
                <a:ext uri="{FF2B5EF4-FFF2-40B4-BE49-F238E27FC236}">
                  <a16:creationId xmlns:a16="http://schemas.microsoft.com/office/drawing/2014/main" id="{D33DBE6E-01B6-487B-84AC-20C1CAFE82C5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2784240" y="2586240"/>
              <a:ext cx="9000" cy="9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777000</xdr:colOff>
      <xdr:row>14</xdr:row>
      <xdr:rowOff>75960</xdr:rowOff>
    </xdr:from>
    <xdr:to>
      <xdr:col>5</xdr:col>
      <xdr:colOff>777360</xdr:colOff>
      <xdr:row>14</xdr:row>
      <xdr:rowOff>76320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">
          <xdr14:nvContentPartPr>
            <xdr14:cNvPr id="4" name="Entrada de lápiz 3">
              <a:extLst>
                <a:ext uri="{FF2B5EF4-FFF2-40B4-BE49-F238E27FC236}">
                  <a16:creationId xmlns:a16="http://schemas.microsoft.com/office/drawing/2014/main" id="{EC5F89D0-982A-4649-AD98-F3E722D6B6E4}"/>
                </a:ext>
              </a:extLst>
            </xdr14:cNvPr>
            <xdr14:cNvContentPartPr/>
          </xdr14:nvContentPartPr>
          <xdr14:nvPr macro=""/>
          <xdr14:xfrm>
            <a:off x="4739400" y="2636280"/>
            <a:ext cx="360" cy="360"/>
          </xdr14:xfrm>
        </xdr:contentPart>
      </mc:Choice>
      <mc:Fallback>
        <xdr:pic>
          <xdr:nvPicPr>
            <xdr:cNvPr id="4" name="Entrada de lápiz 3">
              <a:extLst>
                <a:ext uri="{FF2B5EF4-FFF2-40B4-BE49-F238E27FC236}">
                  <a16:creationId xmlns:a16="http://schemas.microsoft.com/office/drawing/2014/main" id="{EC5F89D0-982A-4649-AD98-F3E722D6B6E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4735080" y="2631960"/>
              <a:ext cx="9000" cy="9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106440</xdr:colOff>
      <xdr:row>7</xdr:row>
      <xdr:rowOff>129240</xdr:rowOff>
    </xdr:from>
    <xdr:to>
      <xdr:col>8</xdr:col>
      <xdr:colOff>106800</xdr:colOff>
      <xdr:row>7</xdr:row>
      <xdr:rowOff>129600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">
          <xdr14:nvContentPartPr>
            <xdr14:cNvPr id="5" name="Entrada de lápiz 4">
              <a:extLst>
                <a:ext uri="{FF2B5EF4-FFF2-40B4-BE49-F238E27FC236}">
                  <a16:creationId xmlns:a16="http://schemas.microsoft.com/office/drawing/2014/main" id="{E6CFC3DC-D4BC-4DC8-B4FE-B748FF50EA0A}"/>
                </a:ext>
              </a:extLst>
            </xdr14:cNvPr>
            <xdr14:cNvContentPartPr/>
          </xdr14:nvContentPartPr>
          <xdr14:nvPr macro=""/>
          <xdr14:xfrm>
            <a:off x="6705360" y="1409400"/>
            <a:ext cx="360" cy="360"/>
          </xdr14:xfrm>
        </xdr:contentPart>
      </mc:Choice>
      <mc:Fallback>
        <xdr:pic>
          <xdr:nvPicPr>
            <xdr:cNvPr id="5" name="Entrada de lápiz 4">
              <a:extLst>
                <a:ext uri="{FF2B5EF4-FFF2-40B4-BE49-F238E27FC236}">
                  <a16:creationId xmlns:a16="http://schemas.microsoft.com/office/drawing/2014/main" id="{E6CFC3DC-D4BC-4DC8-B4FE-B748FF50EA0A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701040" y="1405080"/>
              <a:ext cx="9000" cy="9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7440</xdr:colOff>
      <xdr:row>9</xdr:row>
      <xdr:rowOff>60840</xdr:rowOff>
    </xdr:from>
    <xdr:to>
      <xdr:col>8</xdr:col>
      <xdr:colOff>7800</xdr:colOff>
      <xdr:row>9</xdr:row>
      <xdr:rowOff>61200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">
          <xdr14:nvContentPartPr>
            <xdr14:cNvPr id="7" name="Entrada de lápiz 6">
              <a:extLst>
                <a:ext uri="{FF2B5EF4-FFF2-40B4-BE49-F238E27FC236}">
                  <a16:creationId xmlns:a16="http://schemas.microsoft.com/office/drawing/2014/main" id="{17C18076-2F81-42D0-8749-2C730762467F}"/>
                </a:ext>
              </a:extLst>
            </xdr14:cNvPr>
            <xdr14:cNvContentPartPr/>
          </xdr14:nvContentPartPr>
          <xdr14:nvPr macro=""/>
          <xdr14:xfrm>
            <a:off x="6606360" y="1706760"/>
            <a:ext cx="360" cy="360"/>
          </xdr14:xfrm>
        </xdr:contentPart>
      </mc:Choice>
      <mc:Fallback>
        <xdr:pic>
          <xdr:nvPicPr>
            <xdr:cNvPr id="7" name="Entrada de lápiz 6">
              <a:extLst>
                <a:ext uri="{FF2B5EF4-FFF2-40B4-BE49-F238E27FC236}">
                  <a16:creationId xmlns:a16="http://schemas.microsoft.com/office/drawing/2014/main" id="{17C18076-2F81-42D0-8749-2C730762467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602040" y="1702440"/>
              <a:ext cx="9000" cy="9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662880</xdr:colOff>
      <xdr:row>3</xdr:row>
      <xdr:rowOff>129240</xdr:rowOff>
    </xdr:from>
    <xdr:to>
      <xdr:col>5</xdr:col>
      <xdr:colOff>663240</xdr:colOff>
      <xdr:row>3</xdr:row>
      <xdr:rowOff>129600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">
          <xdr14:nvContentPartPr>
            <xdr14:cNvPr id="10" name="Entrada de lápiz 9">
              <a:extLst>
                <a:ext uri="{FF2B5EF4-FFF2-40B4-BE49-F238E27FC236}">
                  <a16:creationId xmlns:a16="http://schemas.microsoft.com/office/drawing/2014/main" id="{BB63D071-ACDD-471B-BDE6-8893B4EDE0B0}"/>
                </a:ext>
              </a:extLst>
            </xdr14:cNvPr>
            <xdr14:cNvContentPartPr/>
          </xdr14:nvContentPartPr>
          <xdr14:nvPr macro=""/>
          <xdr14:xfrm>
            <a:off x="4625280" y="677880"/>
            <a:ext cx="360" cy="360"/>
          </xdr14:xfrm>
        </xdr:contentPart>
      </mc:Choice>
      <mc:Fallback>
        <xdr:pic>
          <xdr:nvPicPr>
            <xdr:cNvPr id="10" name="Entrada de lápiz 9">
              <a:extLst>
                <a:ext uri="{FF2B5EF4-FFF2-40B4-BE49-F238E27FC236}">
                  <a16:creationId xmlns:a16="http://schemas.microsoft.com/office/drawing/2014/main" id="{BB63D071-ACDD-471B-BDE6-8893B4EDE0B0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4620960" y="673560"/>
              <a:ext cx="9000" cy="9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373200</xdr:colOff>
      <xdr:row>3</xdr:row>
      <xdr:rowOff>152280</xdr:rowOff>
    </xdr:from>
    <xdr:to>
      <xdr:col>1</xdr:col>
      <xdr:colOff>373560</xdr:colOff>
      <xdr:row>3</xdr:row>
      <xdr:rowOff>152640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">
          <xdr14:nvContentPartPr>
            <xdr14:cNvPr id="13" name="Entrada de lápiz 12">
              <a:extLst>
                <a:ext uri="{FF2B5EF4-FFF2-40B4-BE49-F238E27FC236}">
                  <a16:creationId xmlns:a16="http://schemas.microsoft.com/office/drawing/2014/main" id="{EF884DD1-A317-4C80-9D28-17B37D624246}"/>
                </a:ext>
              </a:extLst>
            </xdr14:cNvPr>
            <xdr14:cNvContentPartPr/>
          </xdr14:nvContentPartPr>
          <xdr14:nvPr macro=""/>
          <xdr14:xfrm>
            <a:off x="1165680" y="700920"/>
            <a:ext cx="360" cy="360"/>
          </xdr14:xfrm>
        </xdr:contentPart>
      </mc:Choice>
      <mc:Fallback>
        <xdr:pic>
          <xdr:nvPicPr>
            <xdr:cNvPr id="13" name="Entrada de lápiz 12">
              <a:extLst>
                <a:ext uri="{FF2B5EF4-FFF2-40B4-BE49-F238E27FC236}">
                  <a16:creationId xmlns:a16="http://schemas.microsoft.com/office/drawing/2014/main" id="{EF884DD1-A317-4C80-9D28-17B37D624246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1161360" y="696600"/>
              <a:ext cx="9000" cy="90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1356366</xdr:colOff>
      <xdr:row>9</xdr:row>
      <xdr:rowOff>0</xdr:rowOff>
    </xdr:from>
    <xdr:to>
      <xdr:col>7</xdr:col>
      <xdr:colOff>30480</xdr:colOff>
      <xdr:row>25</xdr:row>
      <xdr:rowOff>106680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EEF8FB9-6972-4DE9-8C87-84058AFD25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9-29T14:57:06.798"/>
    </inkml:context>
    <inkml:brush xml:id="br0">
      <inkml:brushProperty name="width" value="0.025" units="cm"/>
      <inkml:brushProperty name="height" value="0.025" units="cm"/>
      <inkml:brushProperty name="ignorePressure" value="1"/>
    </inkml:brush>
  </inkml:definitions>
  <inkml:trace contextRef="#ctx0" brushRef="#br0">0 0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9-29T14:57:07.233"/>
    </inkml:context>
    <inkml:brush xml:id="br0">
      <inkml:brushProperty name="width" value="0.025" units="cm"/>
      <inkml:brushProperty name="height" value="0.025" units="cm"/>
      <inkml:brushProperty name="ignorePressure" value="1"/>
    </inkml:brush>
  </inkml:definitions>
  <inkml:trace contextRef="#ctx0" brushRef="#br0">0 1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9-29T14:57:07.909"/>
    </inkml:context>
    <inkml:brush xml:id="br0">
      <inkml:brushProperty name="width" value="0.025" units="cm"/>
      <inkml:brushProperty name="height" value="0.025" units="cm"/>
      <inkml:brushProperty name="ignorePressure" value="1"/>
    </inkml:brush>
  </inkml:definitions>
  <inkml:trace contextRef="#ctx0" brushRef="#br0">1 1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9-29T14:57:08.753"/>
    </inkml:context>
    <inkml:brush xml:id="br0">
      <inkml:brushProperty name="width" value="0.025" units="cm"/>
      <inkml:brushProperty name="height" value="0.025" units="cm"/>
      <inkml:brushProperty name="ignorePressure" value="1"/>
    </inkml:brush>
  </inkml:definitions>
  <inkml:trace contextRef="#ctx0" brushRef="#br0">1 1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9-29T14:57:12.268"/>
    </inkml:context>
    <inkml:brush xml:id="br0">
      <inkml:brushProperty name="width" value="0.025" units="cm"/>
      <inkml:brushProperty name="height" value="0.025" units="cm"/>
      <inkml:brushProperty name="ignorePressure" value="1"/>
    </inkml:brush>
  </inkml:definitions>
  <inkml:trace contextRef="#ctx0" brushRef="#br0">1 0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9-29T14:57:12.706"/>
    </inkml:context>
    <inkml:brush xml:id="br0">
      <inkml:brushProperty name="width" value="0.025" units="cm"/>
      <inkml:brushProperty name="height" value="0.025" units="cm"/>
      <inkml:brushProperty name="ignorePressure" value="1"/>
    </inkml:brush>
  </inkml:definitions>
  <inkml:trace contextRef="#ctx0" brushRef="#br0">0 1</inkml:trace>
  <inkml:trace contextRef="#ctx0" brushRef="#br0" timeOffset="331.03">0 1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9-29T14:57:15.538"/>
    </inkml:context>
    <inkml:brush xml:id="br0">
      <inkml:brushProperty name="width" value="0.025" units="cm"/>
      <inkml:brushProperty name="height" value="0.025" units="cm"/>
      <inkml:brushProperty name="ignorePressure" value="1"/>
    </inkml:brush>
  </inkml:definitions>
  <inkml:trace contextRef="#ctx0" brushRef="#br0">1 0</inkml:trace>
  <inkml:trace contextRef="#ctx0" brushRef="#br0" timeOffset="333.52">1 0</inkml:trace>
</inkml: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UARIO" refreshedDate="46294.424252893521" createdVersion="6" refreshedVersion="6" minRefreshableVersion="3" recordCount="10" xr:uid="{96604ED8-042A-4D18-8BF4-C5A163D27B5F}">
  <cacheSource type="worksheet">
    <worksheetSource name="Ventas"/>
  </cacheSource>
  <cacheFields count="7">
    <cacheField name="Fecha " numFmtId="14">
      <sharedItems containsSemiMixedTypes="0" containsNonDate="0" containsDate="1" containsString="0" minDate="2025-01-05T00:00:00" maxDate="2025-03-26T00:00:00"/>
    </cacheField>
    <cacheField name="Producto" numFmtId="0">
      <sharedItems/>
    </cacheField>
    <cacheField name="Categoría" numFmtId="0">
      <sharedItems/>
    </cacheField>
    <cacheField name="Región " numFmtId="0">
      <sharedItems count="3">
        <s v="Antioquia"/>
        <s v="Caldas"/>
        <s v="Cundinamarca"/>
      </sharedItems>
    </cacheField>
    <cacheField name="Cantidad" numFmtId="0">
      <sharedItems containsSemiMixedTypes="0" containsString="0" containsNumber="1" containsInteger="1" minValue="1" maxValue="20"/>
    </cacheField>
    <cacheField name="Precio Unitario" numFmtId="0">
      <sharedItems containsSemiMixedTypes="0" containsString="0" containsNumber="1" containsInteger="1" minValue="65000" maxValue="2500000"/>
    </cacheField>
    <cacheField name="Ingresos" numFmtId="0">
      <sharedItems containsSemiMixedTypes="0" containsString="0" containsNumber="1" containsInteger="1" minValue="960000" maxValue="500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d v="2025-01-05T00:00:00"/>
    <s v="Laptop"/>
    <s v="Tecnología"/>
    <x v="0"/>
    <n v="2"/>
    <n v="2500000"/>
    <n v="5000000"/>
  </r>
  <r>
    <d v="2025-01-08T00:00:00"/>
    <s v="Monitor"/>
    <s v="Tencnología"/>
    <x v="1"/>
    <n v="3"/>
    <n v="850000"/>
    <n v="2550000"/>
  </r>
  <r>
    <d v="2025-01-15T00:00:00"/>
    <s v="Teclado"/>
    <s v="Accesorios"/>
    <x v="0"/>
    <n v="10"/>
    <n v="120000"/>
    <n v="1200000"/>
  </r>
  <r>
    <d v="2025-01-22T00:00:00"/>
    <s v="Mouse"/>
    <s v="Accesorios"/>
    <x v="2"/>
    <n v="15"/>
    <n v="65000"/>
    <n v="975000"/>
  </r>
  <r>
    <d v="2025-02-03T00:00:00"/>
    <s v="Laptop"/>
    <s v="Tecnología"/>
    <x v="1"/>
    <n v="1"/>
    <n v="2500000"/>
    <n v="2500000"/>
  </r>
  <r>
    <d v="2025-02-12T00:00:00"/>
    <s v="Monitor"/>
    <s v="Tecnología"/>
    <x v="0"/>
    <n v="4"/>
    <n v="850000"/>
    <n v="3400000"/>
  </r>
  <r>
    <d v="2025-02-20T00:00:00"/>
    <s v="Teclado"/>
    <s v="Accesorios"/>
    <x v="2"/>
    <n v="8"/>
    <n v="120000"/>
    <n v="960000"/>
  </r>
  <r>
    <d v="2025-03-04T00:00:00"/>
    <s v="Mouse"/>
    <s v="Accesorios"/>
    <x v="1"/>
    <n v="20"/>
    <n v="65000"/>
    <n v="1300000"/>
  </r>
  <r>
    <d v="2025-03-15T00:00:00"/>
    <s v="Laptop"/>
    <s v="Tecnología"/>
    <x v="2"/>
    <n v="2"/>
    <n v="2500000"/>
    <n v="5000000"/>
  </r>
  <r>
    <d v="2025-03-25T00:00:00"/>
    <s v="Monitor"/>
    <s v="Tecnología"/>
    <x v="1"/>
    <n v="5"/>
    <n v="850000"/>
    <n v="425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46ECEB-AE36-43F5-B780-9C8EA905D2C6}" name="TablaDinámica8" cacheId="19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11">
  <location ref="A10:B14" firstHeaderRow="1" firstDataRow="1" firstDataCol="1"/>
  <pivotFields count="7">
    <pivotField numFmtId="14"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a de Ingresos" fld="6" baseField="0" baseItem="0"/>
  </dataFields>
  <chartFormats count="4"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0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0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7A6533A-B8E3-4FFD-AAD0-CDDCC1052F3D}" name="Ventas" displayName="Ventas" ref="A1:G11" totalsRowShown="0" headerRowDxfId="0" headerRowBorderDxfId="9" tableBorderDxfId="10" totalsRowBorderDxfId="8">
  <autoFilter ref="A1:G11" xr:uid="{861C5498-174C-4B8E-9001-D2F8146DFE71}"/>
  <tableColumns count="7">
    <tableColumn id="1" xr3:uid="{EEBE25D0-802A-4BBF-98DF-3B8478D566A6}" name="Fecha " dataDxfId="7"/>
    <tableColumn id="2" xr3:uid="{FDA5372D-A996-4082-92F7-FDE0C285DCC1}" name="Producto" dataDxfId="6"/>
    <tableColumn id="3" xr3:uid="{D24E4FF3-33C6-4ADA-8542-FD68BDE8C781}" name="Categoría" dataDxfId="5"/>
    <tableColumn id="4" xr3:uid="{27A92C76-4654-442A-8A69-46B8EF96C652}" name="Región " dataDxfId="4"/>
    <tableColumn id="5" xr3:uid="{B904C58E-ED4B-47CF-9B5D-F6092084AA04}" name="Cantidad" dataDxfId="3"/>
    <tableColumn id="6" xr3:uid="{F3CA058A-E70E-4C0F-8004-AB58EB003D91}" name="Precio Unitario" dataDxfId="2"/>
    <tableColumn id="7" xr3:uid="{C4DB9651-74A3-4011-81EE-4C166B75232B}" name="Ingresos" dataDxfId="1">
      <calculatedColumnFormula>E2*F2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D9F76-6DFB-4232-B8BA-B96F6E769E01}">
  <dimension ref="A1:G11"/>
  <sheetViews>
    <sheetView workbookViewId="0">
      <selection activeCell="E22" sqref="E22"/>
    </sheetView>
  </sheetViews>
  <sheetFormatPr baseColWidth="10" defaultRowHeight="14.4" x14ac:dyDescent="0.3"/>
  <cols>
    <col min="6" max="6" width="15.33203125" customWidth="1"/>
  </cols>
  <sheetData>
    <row r="1" spans="1:7" x14ac:dyDescent="0.3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2" t="s">
        <v>6</v>
      </c>
    </row>
    <row r="2" spans="1:7" x14ac:dyDescent="0.3">
      <c r="A2" s="5">
        <v>45662</v>
      </c>
      <c r="B2" s="6" t="s">
        <v>7</v>
      </c>
      <c r="C2" s="6" t="s">
        <v>8</v>
      </c>
      <c r="D2" s="6" t="s">
        <v>9</v>
      </c>
      <c r="E2" s="6">
        <v>2</v>
      </c>
      <c r="F2" s="6">
        <v>2500000</v>
      </c>
      <c r="G2" s="7">
        <f>E2*F2</f>
        <v>5000000</v>
      </c>
    </row>
    <row r="3" spans="1:7" x14ac:dyDescent="0.3">
      <c r="A3" s="5">
        <v>45665</v>
      </c>
      <c r="B3" s="6" t="s">
        <v>10</v>
      </c>
      <c r="C3" s="6" t="s">
        <v>13</v>
      </c>
      <c r="D3" s="6" t="s">
        <v>15</v>
      </c>
      <c r="E3" s="6">
        <v>3</v>
      </c>
      <c r="F3" s="6">
        <v>850000</v>
      </c>
      <c r="G3" s="7">
        <f t="shared" ref="G3:G11" si="0">E3*F3</f>
        <v>2550000</v>
      </c>
    </row>
    <row r="4" spans="1:7" x14ac:dyDescent="0.3">
      <c r="A4" s="5">
        <v>45672</v>
      </c>
      <c r="B4" s="6" t="s">
        <v>11</v>
      </c>
      <c r="C4" s="6" t="s">
        <v>14</v>
      </c>
      <c r="D4" s="6" t="s">
        <v>9</v>
      </c>
      <c r="E4" s="6">
        <v>10</v>
      </c>
      <c r="F4" s="6">
        <v>120000</v>
      </c>
      <c r="G4" s="7">
        <f t="shared" si="0"/>
        <v>1200000</v>
      </c>
    </row>
    <row r="5" spans="1:7" x14ac:dyDescent="0.3">
      <c r="A5" s="5">
        <v>45679</v>
      </c>
      <c r="B5" s="6" t="s">
        <v>12</v>
      </c>
      <c r="C5" s="6" t="s">
        <v>14</v>
      </c>
      <c r="D5" s="6" t="s">
        <v>16</v>
      </c>
      <c r="E5" s="6">
        <v>15</v>
      </c>
      <c r="F5" s="6">
        <v>65000</v>
      </c>
      <c r="G5" s="7">
        <f t="shared" si="0"/>
        <v>975000</v>
      </c>
    </row>
    <row r="6" spans="1:7" x14ac:dyDescent="0.3">
      <c r="A6" s="5">
        <v>45691</v>
      </c>
      <c r="B6" s="6" t="s">
        <v>7</v>
      </c>
      <c r="C6" s="6" t="s">
        <v>8</v>
      </c>
      <c r="D6" s="6" t="s">
        <v>15</v>
      </c>
      <c r="E6" s="6">
        <v>1</v>
      </c>
      <c r="F6" s="6">
        <v>2500000</v>
      </c>
      <c r="G6" s="7">
        <f t="shared" si="0"/>
        <v>2500000</v>
      </c>
    </row>
    <row r="7" spans="1:7" x14ac:dyDescent="0.3">
      <c r="A7" s="5">
        <v>45700</v>
      </c>
      <c r="B7" s="6" t="s">
        <v>10</v>
      </c>
      <c r="C7" s="6" t="s">
        <v>8</v>
      </c>
      <c r="D7" s="6" t="s">
        <v>9</v>
      </c>
      <c r="E7" s="6">
        <v>4</v>
      </c>
      <c r="F7" s="6">
        <v>850000</v>
      </c>
      <c r="G7" s="7">
        <f t="shared" si="0"/>
        <v>3400000</v>
      </c>
    </row>
    <row r="8" spans="1:7" x14ac:dyDescent="0.3">
      <c r="A8" s="5">
        <v>45708</v>
      </c>
      <c r="B8" s="6" t="s">
        <v>11</v>
      </c>
      <c r="C8" s="6" t="s">
        <v>14</v>
      </c>
      <c r="D8" s="6" t="s">
        <v>16</v>
      </c>
      <c r="E8" s="6">
        <v>8</v>
      </c>
      <c r="F8" s="6">
        <v>120000</v>
      </c>
      <c r="G8" s="7">
        <f t="shared" si="0"/>
        <v>960000</v>
      </c>
    </row>
    <row r="9" spans="1:7" x14ac:dyDescent="0.3">
      <c r="A9" s="5">
        <v>45720</v>
      </c>
      <c r="B9" s="6" t="s">
        <v>12</v>
      </c>
      <c r="C9" s="6" t="s">
        <v>14</v>
      </c>
      <c r="D9" s="6" t="s">
        <v>15</v>
      </c>
      <c r="E9" s="6">
        <v>20</v>
      </c>
      <c r="F9" s="6">
        <v>65000</v>
      </c>
      <c r="G9" s="7">
        <f t="shared" si="0"/>
        <v>1300000</v>
      </c>
    </row>
    <row r="10" spans="1:7" x14ac:dyDescent="0.3">
      <c r="A10" s="5">
        <v>45731</v>
      </c>
      <c r="B10" s="6" t="s">
        <v>7</v>
      </c>
      <c r="C10" s="6" t="s">
        <v>8</v>
      </c>
      <c r="D10" s="6" t="s">
        <v>16</v>
      </c>
      <c r="E10" s="6">
        <v>2</v>
      </c>
      <c r="F10" s="6">
        <v>2500000</v>
      </c>
      <c r="G10" s="7">
        <f t="shared" si="0"/>
        <v>5000000</v>
      </c>
    </row>
    <row r="11" spans="1:7" x14ac:dyDescent="0.3">
      <c r="A11" s="8">
        <v>45741</v>
      </c>
      <c r="B11" s="9" t="s">
        <v>10</v>
      </c>
      <c r="C11" s="9" t="s">
        <v>8</v>
      </c>
      <c r="D11" s="9" t="s">
        <v>15</v>
      </c>
      <c r="E11" s="9">
        <v>5</v>
      </c>
      <c r="F11" s="9">
        <v>850000</v>
      </c>
      <c r="G11" s="1">
        <f t="shared" si="0"/>
        <v>4250000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3D3AC-5539-454D-82B6-72091D8DA2BD}">
  <dimension ref="A1:H14"/>
  <sheetViews>
    <sheetView tabSelected="1" workbookViewId="0">
      <selection activeCell="K7" sqref="K7"/>
    </sheetView>
  </sheetViews>
  <sheetFormatPr baseColWidth="10" defaultRowHeight="14.4" x14ac:dyDescent="0.3"/>
  <cols>
    <col min="1" max="1" width="16.5546875" bestFit="1" customWidth="1"/>
    <col min="2" max="2" width="19.88671875" bestFit="1" customWidth="1"/>
  </cols>
  <sheetData>
    <row r="1" spans="1:8" ht="23.4" x14ac:dyDescent="0.45">
      <c r="A1" s="16" t="s">
        <v>17</v>
      </c>
      <c r="B1" s="15"/>
      <c r="C1" s="15"/>
      <c r="D1" s="15"/>
      <c r="E1" s="15"/>
      <c r="F1" s="15"/>
      <c r="G1" s="15"/>
      <c r="H1" s="15"/>
    </row>
    <row r="2" spans="1:8" ht="18" x14ac:dyDescent="0.35">
      <c r="A2" s="13" t="s">
        <v>18</v>
      </c>
      <c r="B2" s="17">
        <f>SUM(Ventas[Ingresos])</f>
        <v>27135000</v>
      </c>
    </row>
    <row r="3" spans="1:8" ht="18" x14ac:dyDescent="0.35">
      <c r="B3" s="18"/>
    </row>
    <row r="4" spans="1:8" ht="18" x14ac:dyDescent="0.35">
      <c r="A4" s="13" t="s">
        <v>19</v>
      </c>
      <c r="B4" s="18">
        <f>SUM(Ventas[Cantidad])</f>
        <v>70</v>
      </c>
    </row>
    <row r="5" spans="1:8" ht="18" x14ac:dyDescent="0.35">
      <c r="B5" s="18"/>
    </row>
    <row r="6" spans="1:8" ht="18" x14ac:dyDescent="0.35">
      <c r="A6" s="13" t="s">
        <v>20</v>
      </c>
      <c r="B6" s="19">
        <f>AVERAGE(Ventas[Precio Unitario])</f>
        <v>1042000</v>
      </c>
    </row>
    <row r="9" spans="1:8" ht="21" x14ac:dyDescent="0.4">
      <c r="A9" s="21" t="s">
        <v>24</v>
      </c>
      <c r="B9" s="20"/>
      <c r="C9" s="20"/>
      <c r="D9" s="20"/>
      <c r="E9" s="20"/>
      <c r="F9" s="20"/>
      <c r="G9" s="20"/>
    </row>
    <row r="10" spans="1:8" x14ac:dyDescent="0.3">
      <c r="A10" s="10" t="s">
        <v>21</v>
      </c>
      <c r="B10" t="s">
        <v>22</v>
      </c>
    </row>
    <row r="11" spans="1:8" x14ac:dyDescent="0.3">
      <c r="A11" s="11" t="s">
        <v>9</v>
      </c>
      <c r="B11" s="14">
        <v>9600000</v>
      </c>
    </row>
    <row r="12" spans="1:8" x14ac:dyDescent="0.3">
      <c r="A12" s="11" t="s">
        <v>15</v>
      </c>
      <c r="B12" s="14">
        <v>10600000</v>
      </c>
    </row>
    <row r="13" spans="1:8" x14ac:dyDescent="0.3">
      <c r="A13" s="11" t="s">
        <v>16</v>
      </c>
      <c r="B13" s="14">
        <v>6935000</v>
      </c>
    </row>
    <row r="14" spans="1:8" x14ac:dyDescent="0.3">
      <c r="A14" s="11" t="s">
        <v>23</v>
      </c>
      <c r="B14" s="12">
        <v>27135000</v>
      </c>
    </row>
  </sheetData>
  <mergeCells count="2">
    <mergeCell ref="A1:H1"/>
    <mergeCell ref="A9:G9"/>
  </mergeCells>
  <pageMargins left="0.7" right="0.7" top="0.75" bottom="0.75" header="0.3" footer="0.3"/>
  <pageSetup paperSize="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Ventas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2026-09-29T14:45:29Z</dcterms:created>
  <dcterms:modified xsi:type="dcterms:W3CDTF">2026-09-29T15:30:28Z</dcterms:modified>
</cp:coreProperties>
</file>